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.chedv.pt\UCIP\vários\João Carvalho\Balão Esofágico\"/>
    </mc:Choice>
  </mc:AlternateContent>
  <bookViews>
    <workbookView xWindow="0" yWindow="0" windowWidth="24000" windowHeight="960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8" i="1"/>
  <c r="L4" i="1"/>
  <c r="K4" i="1"/>
</calcChain>
</file>

<file path=xl/sharedStrings.xml><?xml version="1.0" encoding="utf-8"?>
<sst xmlns="http://schemas.openxmlformats.org/spreadsheetml/2006/main" count="13" uniqueCount="11">
  <si>
    <t>PEEP</t>
  </si>
  <si>
    <t>Pplat</t>
  </si>
  <si>
    <t>PEsei</t>
  </si>
  <si>
    <t>PEsee</t>
  </si>
  <si>
    <t>cmH2O</t>
  </si>
  <si>
    <t>mmHg</t>
  </si>
  <si>
    <t>PLee</t>
  </si>
  <si>
    <t>PLei</t>
  </si>
  <si>
    <t>DPl</t>
  </si>
  <si>
    <t>Input (cmH2O)</t>
  </si>
  <si>
    <t>Input conversor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</si>
</sst>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</cellXfs>
  <cellStyles count="1">
    <cellStyle name="Normal" xfId="0" builtinId="0"/>
  </cellStyles>
  <dxfs count="8">
    <dxf>
      <fill>
        <patternFill>
          <bgColor rgb="FFFF2121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4343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FF6161"/>
        </patternFill>
      </fill>
    </dxf>
  </dxfs>
  <tableStyles count="0" defaultTableStyle="TableStyleMedium2" defaultPivotStyle="PivotStyleLight16"/>
  <colors>
    <mruColors>
      <color rgb="FFFF2121"/>
      <color rgb="FFFF4343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"/>
  <sheetViews>
    <sheetView tabSelected="1" workbookViewId="0">
      <selection activeCell="J6" sqref="J6"/>
    </sheetView>
  </sheetViews>
  <sheetFormatPr defaultRowHeight="15" x14ac:dyDescent="0.25"/>
  <cols>
    <col min="1" max="1" width="14" bestFit="1" customWidth="1"/>
    <col min="7" max="7" width="15" bestFit="1" customWidth="1"/>
  </cols>
  <sheetData>
    <row r="3" spans="1:12" x14ac:dyDescent="0.25">
      <c r="A3" s="3"/>
      <c r="B3" s="3" t="s">
        <v>0</v>
      </c>
      <c r="C3" s="3" t="s">
        <v>1</v>
      </c>
      <c r="D3" s="3" t="s">
        <v>3</v>
      </c>
      <c r="E3" s="3" t="s">
        <v>2</v>
      </c>
      <c r="H3" s="1" t="s">
        <v>4</v>
      </c>
      <c r="I3" s="1" t="s">
        <v>5</v>
      </c>
      <c r="K3" s="2" t="s">
        <v>4</v>
      </c>
      <c r="L3" s="2" t="s">
        <v>5</v>
      </c>
    </row>
    <row r="4" spans="1:12" x14ac:dyDescent="0.25">
      <c r="A4" s="3" t="s">
        <v>9</v>
      </c>
      <c r="B4" s="3">
        <v>8</v>
      </c>
      <c r="C4" s="3">
        <v>22</v>
      </c>
      <c r="D4" s="3">
        <v>5.4</v>
      </c>
      <c r="E4" s="3">
        <v>16.3</v>
      </c>
      <c r="G4" t="s">
        <v>10</v>
      </c>
      <c r="H4" s="1"/>
      <c r="I4" s="1"/>
      <c r="K4" s="2">
        <f>I4*1.36</f>
        <v>0</v>
      </c>
      <c r="L4" s="2">
        <f>H4/1.36</f>
        <v>0</v>
      </c>
    </row>
    <row r="8" spans="1:12" x14ac:dyDescent="0.25">
      <c r="B8" s="4" t="s">
        <v>6</v>
      </c>
      <c r="C8" s="4">
        <f>B4-D4</f>
        <v>2.5999999999999996</v>
      </c>
    </row>
    <row r="9" spans="1:12" x14ac:dyDescent="0.25">
      <c r="B9" s="4" t="s">
        <v>7</v>
      </c>
      <c r="C9" s="4">
        <f>C4-E4</f>
        <v>5.6999999999999993</v>
      </c>
    </row>
    <row r="10" spans="1:12" x14ac:dyDescent="0.25">
      <c r="B10" s="4" t="s">
        <v>8</v>
      </c>
      <c r="C10" s="4">
        <f>(C4-B4)-(E4-D4)</f>
        <v>3.0999999999999996</v>
      </c>
    </row>
  </sheetData>
  <conditionalFormatting sqref="C8">
    <cfRule type="cellIs" dxfId="7" priority="8" operator="lessThan">
      <formula>0</formula>
    </cfRule>
    <cfRule type="cellIs" dxfId="6" priority="7" operator="between">
      <formula>"0.1"</formula>
      <formula>5</formula>
    </cfRule>
    <cfRule type="cellIs" dxfId="5" priority="6" operator="greaterThan">
      <formula>"5.1"</formula>
    </cfRule>
  </conditionalFormatting>
  <conditionalFormatting sqref="C10">
    <cfRule type="cellIs" dxfId="4" priority="5" operator="lessThan">
      <formula>10</formula>
    </cfRule>
    <cfRule type="cellIs" dxfId="3" priority="4" operator="greaterThan">
      <formula>12</formula>
    </cfRule>
    <cfRule type="cellIs" dxfId="2" priority="3" operator="between">
      <formula>"10.1"</formula>
      <formula>"11.9"</formula>
    </cfRule>
  </conditionalFormatting>
  <conditionalFormatting sqref="C9">
    <cfRule type="cellIs" dxfId="1" priority="2" operator="lessThan">
      <formula>20</formula>
    </cfRule>
    <cfRule type="cellIs" dxfId="0" priority="1" operator="greaterThan">
      <formula>20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Carvalho</dc:creator>
  <cp:lastModifiedBy>João  Carvalho</cp:lastModifiedBy>
  <dcterms:created xsi:type="dcterms:W3CDTF">2023-11-01T14:25:23Z</dcterms:created>
  <dcterms:modified xsi:type="dcterms:W3CDTF">2023-12-09T12:50:35Z</dcterms:modified>
</cp:coreProperties>
</file>